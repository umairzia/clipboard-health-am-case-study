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General\Anime\GPT-4\ClipBoard case\"/>
    </mc:Choice>
  </mc:AlternateContent>
  <bookViews>
    <workbookView xWindow="0" yWindow="0" windowWidth="20490" windowHeight="7620"/>
  </bookViews>
  <sheets>
    <sheet name="Scoring Table_v1" sheetId="1" r:id="rId1"/>
  </sheets>
  <calcPr calcId="162913"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J14" i="1" l="1"/>
  <c r="F39" i="1" s="1"/>
  <c r="J13" i="1"/>
  <c r="F38" i="1" s="1"/>
  <c r="J12" i="1"/>
  <c r="F37" i="1" s="1"/>
  <c r="J11" i="1"/>
  <c r="F36" i="1" s="1"/>
  <c r="J10" i="1"/>
  <c r="F35" i="1" s="1"/>
  <c r="J9" i="1"/>
  <c r="F34" i="1" s="1"/>
  <c r="J8" i="1"/>
  <c r="F33" i="1" s="1"/>
  <c r="J7" i="1"/>
  <c r="F32" i="1" s="1"/>
  <c r="J6" i="1"/>
  <c r="F31" i="1" s="1"/>
  <c r="J5" i="1"/>
  <c r="F30" i="1" s="1"/>
</calcChain>
</file>

<file path=xl/sharedStrings.xml><?xml version="1.0" encoding="utf-8"?>
<sst xmlns="http://schemas.openxmlformats.org/spreadsheetml/2006/main" count="69" uniqueCount="54">
  <si>
    <t>Facility</t>
  </si>
  <si>
    <t>Comments</t>
  </si>
  <si>
    <t>SNF 1</t>
  </si>
  <si>
    <t>simple thank you email, no sign of risk or concern</t>
  </si>
  <si>
    <t>SNF 2**</t>
  </si>
  <si>
    <t>SNF 3**</t>
  </si>
  <si>
    <t>3 voicemails regarding pmt follow up+ 1 email from us asking for payment update</t>
  </si>
  <si>
    <t>SNF 4*</t>
  </si>
  <si>
    <t>invoices mentioned in slack messages incl. INV073, and 074. 073 has been paid, but 074 is disputed</t>
  </si>
  <si>
    <t>SNF 5*</t>
  </si>
  <si>
    <t>Disputed invoice mentioned Inv100</t>
  </si>
  <si>
    <t>SNF 6</t>
  </si>
  <si>
    <t>1 voicemail but the invoice mentioned already paid INV112</t>
  </si>
  <si>
    <t>SNF 7</t>
  </si>
  <si>
    <t>outbound call to AP to discuss onboarding, nothing serious, just discussing invoice processing procedures, nothing to do regarding accounts risk, reveals no new info about accounts payment capability</t>
  </si>
  <si>
    <t>SNF 8**</t>
  </si>
  <si>
    <t>SNF 9**</t>
  </si>
  <si>
    <t>Email about pending status complaint</t>
  </si>
  <si>
    <t>SNF 10</t>
  </si>
  <si>
    <t>Email to Daisy regarding issue with Clocking procedures of our nurses and how it can potentially affect payments, important as the tone of the email is serious</t>
  </si>
  <si>
    <t xml:space="preserve">SNF </t>
  </si>
  <si>
    <t>Tentative Score</t>
  </si>
  <si>
    <t>Sorted</t>
  </si>
  <si>
    <t>Score for Net Terms (a)</t>
  </si>
  <si>
    <t>a) Net Terms (the higher the terms, more risk the SNF may default or become bad debt, add +1 for Net 15, +2 for Net 30, +3 for net 45 and +5 for net 60)</t>
  </si>
  <si>
    <t xml:space="preserve">b) Score for Status (+0 if Enrolled, but is Suspended then +5, if Pended, +3). Suspended means the account is at very high risk of becoming bad debt if not addressed with proper measures </t>
  </si>
  <si>
    <t>Score is based on factors that influence a) importance of account in terms of size and impact on business cash flow and b) risk level - the more riskier the account, the bigger socre to underline the importance of making sure its up-to-date and within terms</t>
  </si>
  <si>
    <t xml:space="preserve">Multi-factor approach, various metrics and numbers are taken into consideration for the scoring. </t>
  </si>
  <si>
    <t>c) Score for Wallet Share (from 0%-25%, +1, if 25%-50%, +2, if 70%-94%, +4, if &gt;95%, +5) - the more % of their wallet means the more important they are to business cash flow</t>
  </si>
  <si>
    <t>Score for Status (b)</t>
  </si>
  <si>
    <t>Trend over time (d)</t>
  </si>
  <si>
    <t>d) Trend over time (score assigned based on stable, decline or growth). If stable or fluctuating slightly, score 1-2 depending on severity, if growing consistently, then score 3 and if falling consistently, then score 4, means need to see why its going down as it affects future cash flow</t>
  </si>
  <si>
    <t xml:space="preserve">Avg days late when paying (e) </t>
  </si>
  <si>
    <t>Score for Wallet Share (c)</t>
  </si>
  <si>
    <t>no mention, however the fact there has been no communication for the outstanding balance of $1.15 million is a massive red flag, so this scoring paradigm under-estimates the risk, In this case, due to the unique circumstances surrounding SNF 2, I will assign it a score of 5 as the lack of mention of any follow up for the pending balance is itself a major risk factor</t>
  </si>
  <si>
    <t>complaint about INV175 and how it was computed – shift times were not rounded correctly, could indicate tech issue in our app payrool calculator ? However score is lower because a revised version of the invoice was issued with the correct total i.e. INV175-2 as can be confirmed from the dataset (not disputed)</t>
  </si>
  <si>
    <t>e) Avg days late when paying. If pay on time mostly score 0, if pay late more than 70% of time, + 2, if always late (100% late), + 3</t>
  </si>
  <si>
    <t>f) Avg exposure per billing event – i.e. "average dollars at risk per invoice issued." If full exposure then +3, if more than $10K but less than $20K, +1, $20K-$40K, +2, $40K-$60K, +3, More than $60K, +4</t>
  </si>
  <si>
    <t>Avg exposure per billing event (f)</t>
  </si>
  <si>
    <t>g) Avg size of unpaid invoice – understanding non-payment patterns. Upto and incl. $20K – +0,  &gt;$20K but less than $40K, +1, more than $40K but less than $60K, +2, If $60K-$80K +3, If $80K-$100K, +4, if &gt;$100K, +5. If full expsoure +3</t>
  </si>
  <si>
    <t>Avg size of unpaid invoice (g)</t>
  </si>
  <si>
    <t>Avg score based on exposure and unpaid avg (h)</t>
  </si>
  <si>
    <t xml:space="preserve">h) final normalized score taking into account both factors (f) and (g) </t>
  </si>
  <si>
    <t>SNF 4</t>
  </si>
  <si>
    <t>SNF 5</t>
  </si>
  <si>
    <t>SNF 8</t>
  </si>
  <si>
    <t>SNF 2</t>
  </si>
  <si>
    <t>SNF 9</t>
  </si>
  <si>
    <t>SNF 3</t>
  </si>
  <si>
    <t>Ranks</t>
  </si>
  <si>
    <t>i) Subjective scoring based on severity or importance of additional info found in voicemails, emails and slack messages, taken into consideration other aspects of the SNF revealed by the data</t>
  </si>
  <si>
    <t>Note: for SNF 10, the scoring criteria had to be adjusted for this because the majority of SNF 10's unpaid balance reflects recently generated invoices that are within terms, the metric is imperfect at capturing it so I am adjusting the score downward to more accurately reflect the risk level</t>
  </si>
  <si>
    <t>Disputes score  (i)</t>
  </si>
  <si>
    <t>Final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</si>
</sst>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amily val="2"/>
    </font>
    <font>
      <b/>
      <i/>
      <u/>
      <sz val="10"/>
      <name val="Arial"/>
      <family val="2"/>
    </font>
    <font>
      <b/>
      <sz val="11"/>
      <color rgb="FF000000"/>
      <name val="Arial"/>
      <family val="2"/>
    </font>
    <font>
      <sz val="11"/>
      <color rgb="FF000000"/>
      <name val="Arial"/>
      <family val="2"/>
    </font>
    <font>
      <sz val="12"/>
      <color rgb="FF000000"/>
      <name val="Arial"/>
      <family val="2"/>
    </font>
    <font>
      <sz val="12"/>
      <name val="Arial"/>
      <family val="2"/>
    </font>
  </fonts>
  <fills count="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Border="0" applyProtection="0"/>
  </cellStyleXfs>
  <cellXfs count="12">
    <xf numFmtId="0" fontId="0" fillId="0" borderId="0" xfId="0"/>
    <xf numFmtId="0" fontId="2" fillId="0" borderId="0" xfId="0" applyFont="1" applyAlignment="1">
      <alignment horizontal="left" wrapText="1"/>
    </xf>
    <xf numFmtId="0" fontId="3" fillId="0" borderId="0" xfId="0" applyFont="1" applyAlignment="1">
      <alignment horizontal="left" wrapText="1"/>
    </xf>
    <xf numFmtId="0" fontId="0" fillId="0" borderId="1" xfId="0" applyBorder="1" applyAlignment="1">
      <alignment horizontal="center"/>
    </xf>
    <xf numFmtId="0" fontId="2" fillId="0" borderId="1" xfId="0" applyFont="1" applyBorder="1" applyAlignment="1">
      <alignment horizontal="center" wrapText="1"/>
    </xf>
    <xf numFmtId="0" fontId="3" fillId="0" borderId="1" xfId="0" applyFont="1" applyBorder="1" applyAlignment="1">
      <alignment horizontal="center" wrapText="1"/>
    </xf>
    <xf numFmtId="0" fontId="0" fillId="2" borderId="1" xfId="0" applyFill="1" applyBorder="1" applyAlignment="1">
      <alignment horizontal="center"/>
    </xf>
    <xf numFmtId="0" fontId="2" fillId="2" borderId="1" xfId="0" applyFont="1" applyFill="1" applyBorder="1" applyAlignment="1">
      <alignment horizontal="center" wrapText="1"/>
    </xf>
    <xf numFmtId="0" fontId="0" fillId="3" borderId="0" xfId="0" applyFill="1"/>
    <xf numFmtId="0" fontId="4" fillId="0" borderId="1" xfId="0" applyFont="1" applyBorder="1" applyAlignment="1">
      <alignment horizontal="left" wrapText="1"/>
    </xf>
    <xf numFmtId="0" fontId="4" fillId="0" borderId="1" xfId="0" applyFont="1" applyBorder="1" applyAlignment="1">
      <alignment horizontal="center" wrapText="1"/>
    </xf>
    <xf numFmtId="0" fontId="5" fillId="0" borderId="1" xfId="0" applyFont="1" applyBorder="1" applyAlignment="1">
      <alignment horizontal="center"/>
    </xf>
  </cellXfs>
  <cellStyles count="2">
    <cellStyle name="Explanatory Text" xfId="1" builtinId="53" customBuiltin="1"/>
    <cellStyle name="Normal" xfId="0" builtinId="0"/>
  </cellStyles>
  <dxfs count="0"/>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DDE8CB"/>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L40"/>
  <sheetViews>
    <sheetView tabSelected="1" topLeftCell="A4" zoomScale="80" zoomScaleNormal="80" zoomScalePageLayoutView="60" workbookViewId="0">
      <selection activeCell="B28" sqref="B28"/>
    </sheetView>
  </sheetViews>
  <sheetFormatPr defaultRowHeight="12.75" x14ac:dyDescent="0.2"/>
  <cols>
    <col min="1" max="1" width="11.5703125"/>
    <col min="2" max="2" width="9" customWidth="1"/>
    <col min="3" max="3" width="10.28515625" customWidth="1"/>
    <col min="4" max="4" width="10.5703125" customWidth="1"/>
    <col min="5" max="5" width="14.28515625" customWidth="1"/>
    <col min="6" max="6" width="12.140625" customWidth="1"/>
    <col min="7" max="7" width="10.7109375" customWidth="1"/>
    <col min="8" max="8" width="11.5703125" customWidth="1"/>
    <col min="9" max="9" width="15.42578125" customWidth="1"/>
    <col min="10" max="10" width="12" customWidth="1"/>
    <col min="11" max="11" width="10.140625" customWidth="1"/>
    <col min="12" max="12" width="61.42578125" customWidth="1"/>
    <col min="13" max="13" width="14.28515625" customWidth="1"/>
    <col min="14" max="1021" width="11.5703125"/>
  </cols>
  <sheetData>
    <row r="4" spans="2:12" ht="76.5" customHeight="1" x14ac:dyDescent="0.25">
      <c r="B4" s="4" t="s">
        <v>0</v>
      </c>
      <c r="C4" s="4" t="s">
        <v>23</v>
      </c>
      <c r="D4" s="4" t="s">
        <v>29</v>
      </c>
      <c r="E4" s="4" t="s">
        <v>33</v>
      </c>
      <c r="F4" s="4" t="s">
        <v>30</v>
      </c>
      <c r="G4" s="4" t="s">
        <v>32</v>
      </c>
      <c r="H4" s="4" t="s">
        <v>38</v>
      </c>
      <c r="I4" s="4" t="s">
        <v>40</v>
      </c>
      <c r="J4" s="4" t="s">
        <v>41</v>
      </c>
      <c r="K4" s="4" t="s">
        <v>52</v>
      </c>
      <c r="L4" s="1" t="s">
        <v>1</v>
      </c>
    </row>
    <row r="5" spans="2:12" ht="15" x14ac:dyDescent="0.2">
      <c r="B5" s="9" t="s">
        <v>2</v>
      </c>
      <c r="C5" s="10">
        <v>1</v>
      </c>
      <c r="D5" s="10">
        <v>0</v>
      </c>
      <c r="E5" s="10">
        <v>1</v>
      </c>
      <c r="F5" s="10">
        <v>1</v>
      </c>
      <c r="G5" s="10">
        <v>0</v>
      </c>
      <c r="H5" s="10">
        <v>0</v>
      </c>
      <c r="I5" s="11">
        <v>0</v>
      </c>
      <c r="J5" s="11">
        <f t="shared" ref="J5:J14" si="0">(H5+I5)/2</f>
        <v>0</v>
      </c>
      <c r="K5" s="11">
        <v>0</v>
      </c>
      <c r="L5" t="s">
        <v>3</v>
      </c>
    </row>
    <row r="6" spans="2:12" ht="15" x14ac:dyDescent="0.2">
      <c r="B6" s="9" t="s">
        <v>46</v>
      </c>
      <c r="C6" s="10">
        <v>3</v>
      </c>
      <c r="D6" s="10">
        <v>0</v>
      </c>
      <c r="E6" s="10">
        <v>1</v>
      </c>
      <c r="F6" s="10">
        <v>3</v>
      </c>
      <c r="G6" s="10">
        <v>3</v>
      </c>
      <c r="H6" s="10">
        <v>4</v>
      </c>
      <c r="I6" s="11">
        <v>3</v>
      </c>
      <c r="J6" s="11">
        <f t="shared" si="0"/>
        <v>3.5</v>
      </c>
      <c r="K6" s="11">
        <v>5</v>
      </c>
      <c r="L6" t="s">
        <v>34</v>
      </c>
    </row>
    <row r="7" spans="2:12" ht="14.25" customHeight="1" x14ac:dyDescent="0.2">
      <c r="B7" s="9" t="s">
        <v>48</v>
      </c>
      <c r="C7" s="10">
        <v>5</v>
      </c>
      <c r="D7" s="10">
        <v>5</v>
      </c>
      <c r="E7" s="10">
        <v>2</v>
      </c>
      <c r="F7" s="10">
        <v>4</v>
      </c>
      <c r="G7" s="10">
        <v>0</v>
      </c>
      <c r="H7" s="10">
        <v>4</v>
      </c>
      <c r="I7" s="11">
        <v>3</v>
      </c>
      <c r="J7" s="11">
        <f t="shared" si="0"/>
        <v>3.5</v>
      </c>
      <c r="K7" s="11">
        <v>3</v>
      </c>
      <c r="L7" t="s">
        <v>6</v>
      </c>
    </row>
    <row r="8" spans="2:12" ht="15" x14ac:dyDescent="0.2">
      <c r="B8" s="9" t="s">
        <v>43</v>
      </c>
      <c r="C8" s="10">
        <v>3</v>
      </c>
      <c r="D8" s="10">
        <v>0</v>
      </c>
      <c r="E8" s="10">
        <v>4</v>
      </c>
      <c r="F8" s="10">
        <v>2</v>
      </c>
      <c r="G8" s="10">
        <v>0</v>
      </c>
      <c r="H8" s="10">
        <v>0</v>
      </c>
      <c r="I8" s="11">
        <v>0</v>
      </c>
      <c r="J8" s="11">
        <f t="shared" si="0"/>
        <v>0</v>
      </c>
      <c r="K8" s="11">
        <v>2</v>
      </c>
      <c r="L8" t="s">
        <v>8</v>
      </c>
    </row>
    <row r="9" spans="2:12" ht="15" x14ac:dyDescent="0.2">
      <c r="B9" s="9" t="s">
        <v>44</v>
      </c>
      <c r="C9" s="10">
        <v>2</v>
      </c>
      <c r="D9" s="10">
        <v>0</v>
      </c>
      <c r="E9" s="10">
        <v>4</v>
      </c>
      <c r="F9" s="10">
        <v>2</v>
      </c>
      <c r="G9" s="10">
        <v>0</v>
      </c>
      <c r="H9" s="10">
        <v>0</v>
      </c>
      <c r="I9" s="11">
        <v>1</v>
      </c>
      <c r="J9" s="11">
        <f t="shared" si="0"/>
        <v>0.5</v>
      </c>
      <c r="K9" s="11">
        <v>1</v>
      </c>
      <c r="L9" t="s">
        <v>10</v>
      </c>
    </row>
    <row r="10" spans="2:12" ht="15" x14ac:dyDescent="0.2">
      <c r="B10" s="9" t="s">
        <v>11</v>
      </c>
      <c r="C10" s="10">
        <v>1</v>
      </c>
      <c r="D10" s="10">
        <v>0</v>
      </c>
      <c r="E10" s="10">
        <v>1</v>
      </c>
      <c r="F10" s="10">
        <v>4</v>
      </c>
      <c r="G10" s="10">
        <v>2</v>
      </c>
      <c r="H10" s="10">
        <v>0</v>
      </c>
      <c r="I10" s="11">
        <v>0</v>
      </c>
      <c r="J10" s="11">
        <f t="shared" si="0"/>
        <v>0</v>
      </c>
      <c r="K10" s="11">
        <v>0</v>
      </c>
      <c r="L10" t="s">
        <v>12</v>
      </c>
    </row>
    <row r="11" spans="2:12" ht="15" x14ac:dyDescent="0.2">
      <c r="B11" s="9" t="s">
        <v>13</v>
      </c>
      <c r="C11" s="10">
        <v>2</v>
      </c>
      <c r="D11" s="10">
        <v>0</v>
      </c>
      <c r="E11" s="10">
        <v>1</v>
      </c>
      <c r="F11" s="10">
        <v>1</v>
      </c>
      <c r="G11" s="10">
        <v>0</v>
      </c>
      <c r="H11" s="10">
        <v>0</v>
      </c>
      <c r="I11" s="11">
        <v>0</v>
      </c>
      <c r="J11" s="11">
        <f t="shared" si="0"/>
        <v>0</v>
      </c>
      <c r="K11" s="11">
        <v>0</v>
      </c>
      <c r="L11" t="s">
        <v>14</v>
      </c>
    </row>
    <row r="12" spans="2:12" ht="15" x14ac:dyDescent="0.2">
      <c r="B12" s="9" t="s">
        <v>45</v>
      </c>
      <c r="C12" s="10">
        <v>2</v>
      </c>
      <c r="D12" s="10">
        <v>0</v>
      </c>
      <c r="E12" s="10">
        <v>5</v>
      </c>
      <c r="F12" s="10">
        <v>2</v>
      </c>
      <c r="G12" s="10">
        <v>2</v>
      </c>
      <c r="H12" s="10">
        <v>1</v>
      </c>
      <c r="I12" s="11">
        <v>2</v>
      </c>
      <c r="J12" s="11">
        <f t="shared" si="0"/>
        <v>1.5</v>
      </c>
      <c r="K12" s="11">
        <v>2</v>
      </c>
      <c r="L12" t="s">
        <v>35</v>
      </c>
    </row>
    <row r="13" spans="2:12" ht="15" x14ac:dyDescent="0.2">
      <c r="B13" s="9" t="s">
        <v>47</v>
      </c>
      <c r="C13" s="10">
        <v>1</v>
      </c>
      <c r="D13" s="10">
        <v>3</v>
      </c>
      <c r="E13" s="10">
        <v>4</v>
      </c>
      <c r="F13" s="10">
        <v>4</v>
      </c>
      <c r="G13" s="10">
        <v>3</v>
      </c>
      <c r="H13" s="10">
        <v>1</v>
      </c>
      <c r="I13" s="11">
        <v>2</v>
      </c>
      <c r="J13" s="11">
        <f t="shared" si="0"/>
        <v>1.5</v>
      </c>
      <c r="K13" s="11">
        <v>3</v>
      </c>
      <c r="L13" t="s">
        <v>17</v>
      </c>
    </row>
    <row r="14" spans="2:12" ht="15" x14ac:dyDescent="0.2">
      <c r="B14" s="9" t="s">
        <v>18</v>
      </c>
      <c r="C14" s="10">
        <v>2</v>
      </c>
      <c r="D14" s="10">
        <v>0</v>
      </c>
      <c r="E14" s="10">
        <v>4</v>
      </c>
      <c r="F14" s="10">
        <v>2</v>
      </c>
      <c r="G14" s="10">
        <v>0</v>
      </c>
      <c r="H14" s="10">
        <v>1</v>
      </c>
      <c r="I14" s="11">
        <v>2</v>
      </c>
      <c r="J14" s="11">
        <f t="shared" si="0"/>
        <v>1.5</v>
      </c>
      <c r="K14" s="11">
        <v>4</v>
      </c>
      <c r="L14" t="s">
        <v>19</v>
      </c>
    </row>
    <row r="16" spans="2:12" x14ac:dyDescent="0.2">
      <c r="B16" t="s">
        <v>27</v>
      </c>
    </row>
    <row r="17" spans="2:11" x14ac:dyDescent="0.2">
      <c r="B17" t="s">
        <v>26</v>
      </c>
    </row>
    <row r="18" spans="2:11" x14ac:dyDescent="0.2">
      <c r="B18" t="s">
        <v>24</v>
      </c>
    </row>
    <row r="19" spans="2:11" x14ac:dyDescent="0.2">
      <c r="B19" t="s">
        <v>25</v>
      </c>
    </row>
    <row r="20" spans="2:11" x14ac:dyDescent="0.2">
      <c r="B20" t="s">
        <v>28</v>
      </c>
    </row>
    <row r="21" spans="2:11" x14ac:dyDescent="0.2">
      <c r="B21" t="s">
        <v>31</v>
      </c>
    </row>
    <row r="22" spans="2:11" x14ac:dyDescent="0.2">
      <c r="B22" t="s">
        <v>36</v>
      </c>
    </row>
    <row r="23" spans="2:11" x14ac:dyDescent="0.2">
      <c r="B23" t="s">
        <v>37</v>
      </c>
    </row>
    <row r="24" spans="2:11" x14ac:dyDescent="0.2">
      <c r="B24" t="s">
        <v>39</v>
      </c>
    </row>
    <row r="25" spans="2:11" x14ac:dyDescent="0.2">
      <c r="B25" t="s">
        <v>42</v>
      </c>
    </row>
    <row r="26" spans="2:11" x14ac:dyDescent="0.2">
      <c r="B26" t="s">
        <v>50</v>
      </c>
    </row>
    <row r="27" spans="2:11" s="8" customFormat="1" x14ac:dyDescent="0.2">
      <c r="B27" s="8" t="s">
        <v>51</v>
      </c>
    </row>
    <row r="28" spans="2:11" x14ac:dyDescent="0.2">
      <c r="J28" t="s">
        <v>22</v>
      </c>
    </row>
    <row r="29" spans="2:11" x14ac:dyDescent="0.2">
      <c r="E29" t="s">
        <v>20</v>
      </c>
      <c r="F29" t="s">
        <v>21</v>
      </c>
    </row>
    <row r="30" spans="2:11" ht="14.25" x14ac:dyDescent="0.2">
      <c r="E30" s="2" t="s">
        <v>2</v>
      </c>
      <c r="F30">
        <f t="shared" ref="F30:F39" si="1">C5+D5+E5+F5+G5+J5+K5</f>
        <v>3</v>
      </c>
      <c r="I30" s="3" t="s">
        <v>49</v>
      </c>
      <c r="J30" s="3" t="s">
        <v>20</v>
      </c>
      <c r="K30" s="3" t="s">
        <v>53</v>
      </c>
    </row>
    <row r="31" spans="2:11" ht="15" x14ac:dyDescent="0.25">
      <c r="E31" s="1" t="s">
        <v>4</v>
      </c>
      <c r="F31">
        <f t="shared" si="1"/>
        <v>18.5</v>
      </c>
      <c r="I31" s="6">
        <v>1</v>
      </c>
      <c r="J31" s="7" t="s">
        <v>48</v>
      </c>
      <c r="K31" s="6">
        <v>22.5</v>
      </c>
    </row>
    <row r="32" spans="2:11" ht="15" x14ac:dyDescent="0.25">
      <c r="E32" s="1" t="s">
        <v>5</v>
      </c>
      <c r="F32">
        <f t="shared" si="1"/>
        <v>22.5</v>
      </c>
      <c r="I32" s="6">
        <v>2</v>
      </c>
      <c r="J32" s="7" t="s">
        <v>47</v>
      </c>
      <c r="K32" s="6">
        <v>19.5</v>
      </c>
    </row>
    <row r="33" spans="5:11" ht="15" x14ac:dyDescent="0.25">
      <c r="E33" s="2" t="s">
        <v>7</v>
      </c>
      <c r="F33">
        <f t="shared" si="1"/>
        <v>11</v>
      </c>
      <c r="I33" s="6">
        <v>3</v>
      </c>
      <c r="J33" s="7" t="s">
        <v>46</v>
      </c>
      <c r="K33" s="6">
        <v>18.5</v>
      </c>
    </row>
    <row r="34" spans="5:11" ht="15" x14ac:dyDescent="0.25">
      <c r="E34" s="2" t="s">
        <v>9</v>
      </c>
      <c r="F34">
        <f t="shared" si="1"/>
        <v>9.5</v>
      </c>
      <c r="I34" s="6">
        <v>4</v>
      </c>
      <c r="J34" s="7" t="s">
        <v>18</v>
      </c>
      <c r="K34" s="6">
        <v>15</v>
      </c>
    </row>
    <row r="35" spans="5:11" ht="15" x14ac:dyDescent="0.25">
      <c r="E35" s="2" t="s">
        <v>11</v>
      </c>
      <c r="F35">
        <f t="shared" si="1"/>
        <v>8</v>
      </c>
      <c r="I35" s="6">
        <v>5</v>
      </c>
      <c r="J35" s="7" t="s">
        <v>45</v>
      </c>
      <c r="K35" s="6">
        <v>14.5</v>
      </c>
    </row>
    <row r="36" spans="5:11" ht="14.25" x14ac:dyDescent="0.2">
      <c r="E36" s="2" t="s">
        <v>13</v>
      </c>
      <c r="F36">
        <f t="shared" si="1"/>
        <v>4</v>
      </c>
      <c r="I36" s="3">
        <v>6</v>
      </c>
      <c r="J36" s="5" t="s">
        <v>43</v>
      </c>
      <c r="K36" s="3">
        <v>11</v>
      </c>
    </row>
    <row r="37" spans="5:11" ht="15" x14ac:dyDescent="0.25">
      <c r="E37" s="1" t="s">
        <v>15</v>
      </c>
      <c r="F37">
        <f t="shared" si="1"/>
        <v>14.5</v>
      </c>
      <c r="I37" s="3">
        <v>7</v>
      </c>
      <c r="J37" s="5" t="s">
        <v>44</v>
      </c>
      <c r="K37" s="3">
        <v>9.5</v>
      </c>
    </row>
    <row r="38" spans="5:11" ht="15" x14ac:dyDescent="0.25">
      <c r="E38" s="1" t="s">
        <v>16</v>
      </c>
      <c r="F38">
        <f t="shared" si="1"/>
        <v>19.5</v>
      </c>
      <c r="I38" s="3">
        <v>8</v>
      </c>
      <c r="J38" s="5" t="s">
        <v>11</v>
      </c>
      <c r="K38" s="3">
        <v>8</v>
      </c>
    </row>
    <row r="39" spans="5:11" ht="14.25" x14ac:dyDescent="0.2">
      <c r="E39" s="2" t="s">
        <v>18</v>
      </c>
      <c r="F39">
        <f t="shared" si="1"/>
        <v>13.5</v>
      </c>
      <c r="I39" s="3">
        <v>9</v>
      </c>
      <c r="J39" s="5" t="s">
        <v>13</v>
      </c>
      <c r="K39" s="3">
        <v>4</v>
      </c>
    </row>
    <row r="40" spans="5:11" ht="14.25" x14ac:dyDescent="0.2">
      <c r="I40" s="3">
        <v>10</v>
      </c>
      <c r="J40" s="5" t="s">
        <v>2</v>
      </c>
      <c r="K40" s="3">
        <v>3</v>
      </c>
    </row>
  </sheetData>
  <sortState ref="J31:K40">
    <sortCondition descending="1" ref="K30:K39"/>
  </sortState>
  <pageMargins left="0.78749999999999998" right="0.78749999999999998" top="0.78749999999999998" bottom="0.78749999999999998" header="0.51180555555555496" footer="0.51180555555555496"/>
  <pageSetup orientation="portrait" useFirstPageNumber="1"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Scoring Table_v1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cp:lastModifiedBy>Windows User</cp:lastModifiedBy>
  <cp:revision>1</cp:revision>
  <dcterms:created xsi:type="dcterms:W3CDTF">2026-05-17T05:55:48Z</dcterms:created>
  <dcterms:modified xsi:type="dcterms:W3CDTF">2026-05-22T12:59:06Z</dcterms:modified>
  <dc:language>en-US</dc:language>
</cp:coreProperties>
</file>